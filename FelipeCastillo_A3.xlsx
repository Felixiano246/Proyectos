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98d94354c2f575da/Documentos/Ptoyectos/Materia 3 Introducción a los negocios/"/>
    </mc:Choice>
  </mc:AlternateContent>
  <xr:revisionPtr revIDLastSave="15" documentId="11_AD4D2F04E46CFB4ACB3E20375511EA8C683EDF1E" xr6:coauthVersionLast="47" xr6:coauthVersionMax="47" xr10:uidLastSave="{7E75E633-B91F-4D38-9036-06513AB769D1}"/>
  <bookViews>
    <workbookView xWindow="-108" yWindow="-108" windowWidth="23256" windowHeight="12456" activeTab="2" xr2:uid="{00000000-000D-0000-FFFF-FFFF00000000}"/>
  </bookViews>
  <sheets>
    <sheet name="Hoja5" sheetId="6" r:id="rId1"/>
    <sheet name="Regresión lineal múltiple" sheetId="1" r:id="rId2"/>
    <sheet name="Correlación y regresión simple"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7" i="2" l="1"/>
  <c r="E27" i="2"/>
  <c r="B27" i="2"/>
  <c r="G13" i="2" l="1"/>
  <c r="G14" i="2"/>
  <c r="G15" i="2"/>
  <c r="G16" i="2"/>
  <c r="G17" i="2"/>
  <c r="G18" i="2"/>
  <c r="G19" i="2"/>
  <c r="G20" i="2"/>
  <c r="G21" i="2"/>
  <c r="G22" i="2"/>
  <c r="G23" i="2"/>
  <c r="F13" i="2"/>
  <c r="F14" i="2"/>
  <c r="F15" i="2"/>
  <c r="F16" i="2"/>
  <c r="F17" i="2"/>
  <c r="F18" i="2"/>
  <c r="F19" i="2"/>
  <c r="F20" i="2"/>
  <c r="F21" i="2"/>
  <c r="F22" i="2"/>
  <c r="F23" i="2"/>
  <c r="E13" i="2"/>
  <c r="E14" i="2"/>
  <c r="E15" i="2"/>
  <c r="E16" i="2"/>
  <c r="E17" i="2"/>
  <c r="E18" i="2"/>
  <c r="E19" i="2"/>
  <c r="E20" i="2"/>
  <c r="E21" i="2"/>
  <c r="E22" i="2"/>
  <c r="E23" i="2"/>
  <c r="G12" i="2"/>
  <c r="F12" i="2"/>
  <c r="E12" i="2"/>
</calcChain>
</file>

<file path=xl/sharedStrings.xml><?xml version="1.0" encoding="utf-8"?>
<sst xmlns="http://schemas.openxmlformats.org/spreadsheetml/2006/main" count="96" uniqueCount="59">
  <si>
    <t>Descripción de actividad.</t>
  </si>
  <si>
    <t>Este ejercicio analaiza la relación entre el número de quejas recibidas en las sucursales y dos variables: el personal total y los asesores activos. Mediante la regresión lineal múltiple se busca identificar qué variables tienen mayor influencia sobre la cantidad de quejas.</t>
  </si>
  <si>
    <t>Sucursal</t>
  </si>
  <si>
    <t>Quejas (y)</t>
  </si>
  <si>
    <t>Personal total x1</t>
  </si>
  <si>
    <t>Asesores activos x2</t>
  </si>
  <si>
    <t>México</t>
  </si>
  <si>
    <t>Hidalgo</t>
  </si>
  <si>
    <t>Mérida</t>
  </si>
  <si>
    <t>Valladolid</t>
  </si>
  <si>
    <t>Veracruz</t>
  </si>
  <si>
    <t>Mazatlán</t>
  </si>
  <si>
    <t>Guadalajara</t>
  </si>
  <si>
    <t>Campeche</t>
  </si>
  <si>
    <t>Monterrey</t>
  </si>
  <si>
    <t>Chiapas</t>
  </si>
  <si>
    <t>Resumen</t>
  </si>
  <si>
    <t>Estadísticas de la regresión</t>
  </si>
  <si>
    <t>Coeficiente de correlación múltiple</t>
  </si>
  <si>
    <t>Coeficiente de determinación R^2</t>
  </si>
  <si>
    <t>R^2  ajustado</t>
  </si>
  <si>
    <t>Error típico</t>
  </si>
  <si>
    <t>Observaciones</t>
  </si>
  <si>
    <t>ANÁLISIS DE VARIANZA</t>
  </si>
  <si>
    <t>Regresión</t>
  </si>
  <si>
    <t>Residuos</t>
  </si>
  <si>
    <t>Total</t>
  </si>
  <si>
    <t>Intercepción</t>
  </si>
  <si>
    <t>Grados de libertad</t>
  </si>
  <si>
    <t>Suma de cuadrados</t>
  </si>
  <si>
    <t>Promedio de los cuadrados</t>
  </si>
  <si>
    <t>F</t>
  </si>
  <si>
    <t>Valor crítico de F</t>
  </si>
  <si>
    <t>Coeficientes</t>
  </si>
  <si>
    <t>Estadístico t</t>
  </si>
  <si>
    <t>Probabilidad</t>
  </si>
  <si>
    <t>Inferior 95%</t>
  </si>
  <si>
    <t>Superior 95%</t>
  </si>
  <si>
    <t>Inferior 95.0%</t>
  </si>
  <si>
    <t>Superior 95.0%</t>
  </si>
  <si>
    <t>Resultados de datos de probabilidad</t>
  </si>
  <si>
    <t>Percentil</t>
  </si>
  <si>
    <t>Interpretación personal</t>
  </si>
  <si>
    <t>El análisis de resgresión lineal múltiple se realizó para determinar si el número de personal total y la cantidad de asesores activos tienen relación con el número de quejas regristradas en las sucursales. Los resultados muestran un coeficiente de determinación (R^2 de aproximadamente 0.035, lo que indica que el modelo explica solo el 3.5% de la variación observada en las quejas. Además, los valores de significancia de las variables Personal Total y Asesores Activos son mayores a 0.05, por lo que no existe evidencia estadística suficiente para afirmar que estas variables influyen significativamente en la cantidad de quejas. Esto sugiere que existen otros factores que podrían influir en la cantidad de quejas registradas por las sucursales.</t>
  </si>
  <si>
    <t>Este ejercicio analiza la relación entre los gastos mensuales de una empresa y sus ventas. A través de la correlación y regresión lineal se busca determinar si esxiste una asociación entre ambas variables y cómo puede utilizarse esta información para apoyar la toma de decisiones.</t>
  </si>
  <si>
    <t>Mes</t>
  </si>
  <si>
    <t>Gastos (x)</t>
  </si>
  <si>
    <t>Ventas (y)</t>
  </si>
  <si>
    <t>x^2</t>
  </si>
  <si>
    <t>y^2</t>
  </si>
  <si>
    <t>x*y</t>
  </si>
  <si>
    <t>Pendiente</t>
  </si>
  <si>
    <t>Conclusion</t>
  </si>
  <si>
    <t>Coeficiente de correlación</t>
  </si>
  <si>
    <t>Intersección eje</t>
  </si>
  <si>
    <t>Coeficiente de determinación (R^2)</t>
  </si>
  <si>
    <t>Intersección eje Y</t>
  </si>
  <si>
    <t>El análisis de correlación y regresión lineal permitió estudiar la relación entre los gastos y las ventas de la empresa. El coeficiente de correlación obtenido fue de 0.4186, lo que indica una relación positiva moderada entre ambas variables. Esto significa que, en general, al aumentar los gastos también tienden a aumentar las ventas. El coeficiente de determinación (R2=0.1752) muestra que aproximadamente el 17.52 % de la variación de las ventas puede explicarse por los gastos, mientras que el resto depende otros factores. La ecuación de regresión obtenida permite realizar estimaciones y proyecciones de ventas a partir de los gastos. Este tipo análisis es útil para apoyar la toma de desiciones y planificar estrategías que contribuyan al crecimiento y desarrollo de la empresa.</t>
  </si>
  <si>
    <t>Descripción de la actividad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</si>
</sst>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i/>
      <sz val="11"/>
      <color theme="1"/>
      <name val="Calibri"/>
      <family val="2"/>
      <scheme val="minor"/>
    </font>
    <font>
      <sz val="12"/>
      <color theme="1"/>
      <name val="Times New Roman"/>
      <family val="1"/>
    </font>
    <font>
      <b/>
      <sz val="12"/>
      <color theme="1"/>
      <name val="Times New Roman"/>
      <family val="1"/>
    </font>
    <font>
      <i/>
      <sz val="12"/>
      <color theme="1"/>
      <name val="Times New Roman"/>
      <family val="1"/>
    </font>
    <font>
      <sz val="8"/>
      <name val="Calibri"/>
      <family val="2"/>
      <scheme val="minor"/>
    </font>
  </fonts>
  <fills count="7">
    <fill>
      <patternFill patternType="none"/>
    </fill>
    <fill>
      <patternFill patternType="gray125"/>
    </fill>
    <fill>
      <patternFill patternType="solid">
        <fgColor theme="7" tint="0.39997558519241921"/>
        <bgColor indexed="64"/>
      </patternFill>
    </fill>
    <fill>
      <patternFill patternType="solid">
        <fgColor theme="5" tint="0.59999389629810485"/>
        <bgColor indexed="64"/>
      </patternFill>
    </fill>
    <fill>
      <patternFill patternType="solid">
        <fgColor theme="4"/>
        <bgColor indexed="64"/>
      </patternFill>
    </fill>
    <fill>
      <patternFill patternType="solid">
        <fgColor theme="4" tint="0.39997558519241921"/>
        <bgColor indexed="64"/>
      </patternFill>
    </fill>
    <fill>
      <patternFill patternType="solid">
        <fgColor theme="7" tint="0.79998168889431442"/>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2">
    <xf numFmtId="0" fontId="0" fillId="0" borderId="0" xfId="0"/>
    <xf numFmtId="0" fontId="0" fillId="0" borderId="0" xfId="0" applyFill="1" applyBorder="1" applyAlignment="1"/>
    <xf numFmtId="0" fontId="0" fillId="0" borderId="1" xfId="0" applyFill="1" applyBorder="1" applyAlignment="1"/>
    <xf numFmtId="0" fontId="1" fillId="0" borderId="2" xfId="0" applyFont="1" applyFill="1" applyBorder="1" applyAlignment="1">
      <alignment horizontal="center"/>
    </xf>
    <xf numFmtId="0" fontId="1" fillId="0" borderId="2" xfId="0" applyFont="1" applyFill="1" applyBorder="1" applyAlignment="1">
      <alignment horizontal="centerContinuous"/>
    </xf>
    <xf numFmtId="0" fontId="2" fillId="0" borderId="0" xfId="0" applyFont="1"/>
    <xf numFmtId="0" fontId="3" fillId="0" borderId="0" xfId="0" applyFont="1"/>
    <xf numFmtId="0" fontId="4" fillId="0" borderId="2" xfId="0" applyFont="1" applyFill="1" applyBorder="1" applyAlignment="1">
      <alignment horizontal="centerContinuous"/>
    </xf>
    <xf numFmtId="0" fontId="2" fillId="0" borderId="0" xfId="0" applyFont="1" applyFill="1" applyBorder="1" applyAlignment="1"/>
    <xf numFmtId="0" fontId="2" fillId="0" borderId="1" xfId="0" applyFont="1" applyFill="1" applyBorder="1" applyAlignment="1"/>
    <xf numFmtId="0" fontId="4" fillId="0" borderId="2" xfId="0" applyFont="1" applyFill="1" applyBorder="1" applyAlignment="1">
      <alignment horizontal="center"/>
    </xf>
    <xf numFmtId="0" fontId="2" fillId="0" borderId="0" xfId="0" applyFont="1" applyFill="1" applyBorder="1" applyAlignment="1">
      <alignment horizontal="center"/>
    </xf>
    <xf numFmtId="0" fontId="2" fillId="0" borderId="1" xfId="0" applyFont="1" applyFill="1" applyBorder="1" applyAlignment="1">
      <alignment horizontal="center"/>
    </xf>
    <xf numFmtId="0" fontId="3" fillId="2" borderId="0" xfId="0" applyFont="1" applyFill="1" applyAlignment="1">
      <alignment horizontal="center"/>
    </xf>
    <xf numFmtId="0" fontId="2" fillId="3" borderId="0" xfId="0" applyFont="1" applyFill="1" applyAlignment="1">
      <alignment horizontal="center"/>
    </xf>
    <xf numFmtId="0" fontId="3" fillId="4" borderId="0" xfId="0" applyFont="1" applyFill="1" applyAlignment="1">
      <alignment horizontal="center"/>
    </xf>
    <xf numFmtId="0" fontId="2" fillId="5" borderId="0" xfId="0" applyFont="1" applyFill="1" applyAlignment="1">
      <alignment horizontal="center"/>
    </xf>
    <xf numFmtId="0" fontId="2" fillId="0" borderId="0" xfId="0" applyFont="1" applyAlignment="1">
      <alignment horizontal="center" vertical="top" wrapText="1"/>
    </xf>
    <xf numFmtId="0" fontId="3" fillId="2" borderId="0" xfId="0" applyFont="1" applyFill="1" applyAlignment="1">
      <alignment horizontal="center" vertical="center"/>
    </xf>
    <xf numFmtId="0" fontId="2" fillId="6" borderId="0" xfId="0" applyFont="1" applyFill="1" applyAlignment="1">
      <alignment horizontal="center" vertical="center"/>
    </xf>
    <xf numFmtId="0" fontId="2" fillId="0" borderId="0" xfId="0" applyFont="1" applyAlignment="1">
      <alignment horizontal="center" vertical="top"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MX"/>
              <a:t>Gráfico de probabilidad normal</a:t>
            </a:r>
          </a:p>
        </c:rich>
      </c:tx>
      <c:overlay val="0"/>
    </c:title>
    <c:autoTitleDeleted val="0"/>
    <c:plotArea>
      <c:layout/>
      <c:scatterChart>
        <c:scatterStyle val="lineMarker"/>
        <c:varyColors val="0"/>
        <c:ser>
          <c:idx val="0"/>
          <c:order val="0"/>
          <c:spPr>
            <a:ln w="19050">
              <a:noFill/>
            </a:ln>
          </c:spPr>
          <c:trendline>
            <c:trendlineType val="linear"/>
            <c:dispRSqr val="1"/>
            <c:dispEq val="1"/>
            <c:trendlineLbl>
              <c:layout>
                <c:manualLayout>
                  <c:x val="-0.45425212335183768"/>
                  <c:y val="6.0754390237302809E-3"/>
                </c:manualLayout>
              </c:layout>
              <c:tx>
                <c:rich>
                  <a:bodyPr/>
                  <a:lstStyle/>
                  <a:p>
                    <a:pPr>
                      <a:defRPr/>
                    </a:pPr>
                    <a:r>
                      <a:rPr lang="en-US" b="1" baseline="0">
                        <a:solidFill>
                          <a:sysClr val="windowText" lastClr="000000"/>
                        </a:solidFill>
                      </a:rPr>
                      <a:t>y = 2.6388x + 84.461</a:t>
                    </a:r>
                    <a:br>
                      <a:rPr lang="en-US" b="1" baseline="0">
                        <a:solidFill>
                          <a:sysClr val="windowText" lastClr="000000"/>
                        </a:solidFill>
                      </a:rPr>
                    </a:br>
                    <a:r>
                      <a:rPr lang="en-US" b="1" baseline="0">
                        <a:solidFill>
                          <a:sysClr val="windowText" lastClr="000000"/>
                        </a:solidFill>
                      </a:rPr>
                      <a:t>R² = 0.8124</a:t>
                    </a:r>
                    <a:endParaRPr lang="en-US" b="1">
                      <a:solidFill>
                        <a:sysClr val="windowText" lastClr="000000"/>
                      </a:solidFill>
                    </a:endParaRPr>
                  </a:p>
                </c:rich>
              </c:tx>
              <c:numFmt formatCode="General" sourceLinked="0"/>
              <c:spPr>
                <a:solidFill>
                  <a:schemeClr val="accent4">
                    <a:lumMod val="40000"/>
                    <a:lumOff val="60000"/>
                  </a:schemeClr>
                </a:solidFill>
              </c:spPr>
            </c:trendlineLbl>
          </c:trendline>
          <c:xVal>
            <c:numRef>
              <c:f>Hoja5!$A$26:$A$35</c:f>
              <c:numCache>
                <c:formatCode>General</c:formatCode>
                <c:ptCount val="10"/>
                <c:pt idx="0">
                  <c:v>5</c:v>
                </c:pt>
                <c:pt idx="1">
                  <c:v>15</c:v>
                </c:pt>
                <c:pt idx="2">
                  <c:v>25</c:v>
                </c:pt>
                <c:pt idx="3">
                  <c:v>35</c:v>
                </c:pt>
                <c:pt idx="4">
                  <c:v>45</c:v>
                </c:pt>
                <c:pt idx="5">
                  <c:v>55</c:v>
                </c:pt>
                <c:pt idx="6">
                  <c:v>65</c:v>
                </c:pt>
                <c:pt idx="7">
                  <c:v>75</c:v>
                </c:pt>
                <c:pt idx="8">
                  <c:v>85</c:v>
                </c:pt>
                <c:pt idx="9">
                  <c:v>95</c:v>
                </c:pt>
              </c:numCache>
            </c:numRef>
          </c:xVal>
          <c:yVal>
            <c:numRef>
              <c:f>Hoja5!$B$26:$B$35</c:f>
              <c:numCache>
                <c:formatCode>General</c:formatCode>
                <c:ptCount val="10"/>
                <c:pt idx="0">
                  <c:v>50</c:v>
                </c:pt>
                <c:pt idx="1">
                  <c:v>75</c:v>
                </c:pt>
                <c:pt idx="2">
                  <c:v>180</c:v>
                </c:pt>
                <c:pt idx="3">
                  <c:v>241</c:v>
                </c:pt>
                <c:pt idx="4">
                  <c:v>247</c:v>
                </c:pt>
                <c:pt idx="5">
                  <c:v>250</c:v>
                </c:pt>
                <c:pt idx="6">
                  <c:v>250</c:v>
                </c:pt>
                <c:pt idx="7">
                  <c:v>259</c:v>
                </c:pt>
                <c:pt idx="8">
                  <c:v>302</c:v>
                </c:pt>
                <c:pt idx="9">
                  <c:v>310</c:v>
                </c:pt>
              </c:numCache>
            </c:numRef>
          </c:yVal>
          <c:smooth val="0"/>
          <c:extLst>
            <c:ext xmlns:c16="http://schemas.microsoft.com/office/drawing/2014/chart" uri="{C3380CC4-5D6E-409C-BE32-E72D297353CC}">
              <c16:uniqueId val="{00000001-97EC-4B39-8DA6-86B0043A7405}"/>
            </c:ext>
          </c:extLst>
        </c:ser>
        <c:dLbls>
          <c:showLegendKey val="0"/>
          <c:showVal val="0"/>
          <c:showCatName val="0"/>
          <c:showSerName val="0"/>
          <c:showPercent val="0"/>
          <c:showBubbleSize val="0"/>
        </c:dLbls>
        <c:axId val="1787158047"/>
        <c:axId val="1787158527"/>
      </c:scatterChart>
      <c:valAx>
        <c:axId val="1787158047"/>
        <c:scaling>
          <c:orientation val="minMax"/>
        </c:scaling>
        <c:delete val="0"/>
        <c:axPos val="b"/>
        <c:title>
          <c:tx>
            <c:rich>
              <a:bodyPr/>
              <a:lstStyle/>
              <a:p>
                <a:pPr>
                  <a:defRPr/>
                </a:pPr>
                <a:r>
                  <a:rPr lang="es-MX"/>
                  <a:t>Muestra percentil</a:t>
                </a:r>
              </a:p>
            </c:rich>
          </c:tx>
          <c:overlay val="0"/>
        </c:title>
        <c:numFmt formatCode="General" sourceLinked="1"/>
        <c:majorTickMark val="out"/>
        <c:minorTickMark val="none"/>
        <c:tickLblPos val="nextTo"/>
        <c:crossAx val="1787158527"/>
        <c:crosses val="autoZero"/>
        <c:crossBetween val="midCat"/>
      </c:valAx>
      <c:valAx>
        <c:axId val="1787158527"/>
        <c:scaling>
          <c:orientation val="minMax"/>
        </c:scaling>
        <c:delete val="0"/>
        <c:axPos val="l"/>
        <c:title>
          <c:tx>
            <c:rich>
              <a:bodyPr/>
              <a:lstStyle/>
              <a:p>
                <a:pPr>
                  <a:defRPr/>
                </a:pPr>
                <a:r>
                  <a:rPr lang="es-MX"/>
                  <a:t>Quejas (y)</a:t>
                </a:r>
              </a:p>
            </c:rich>
          </c:tx>
          <c:overlay val="0"/>
        </c:title>
        <c:numFmt formatCode="General" sourceLinked="1"/>
        <c:majorTickMark val="out"/>
        <c:minorTickMark val="none"/>
        <c:tickLblPos val="nextTo"/>
        <c:crossAx val="1787158047"/>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scatterChart>
        <c:scatterStyle val="lineMarker"/>
        <c:varyColors val="0"/>
        <c:ser>
          <c:idx val="0"/>
          <c:order val="0"/>
          <c:tx>
            <c:strRef>
              <c:f>'Regresión lineal múltiple'!$I$10</c:f>
              <c:strCache>
                <c:ptCount val="1"/>
                <c:pt idx="0">
                  <c:v>Quejas (y)</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53787204724409454"/>
                  <c:y val="-0.32054097404491105"/>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baseline="0"/>
                      <a:t>y = 5.3757x + 141.68</a:t>
                    </a:r>
                    <a:br>
                      <a:rPr lang="en-US" b="1" baseline="0"/>
                    </a:br>
                    <a:r>
                      <a:rPr lang="en-US" b="1" baseline="0"/>
                      <a:t>R² = 0.0347</a:t>
                    </a:r>
                    <a:endParaRPr lang="en-US" b="1"/>
                  </a:p>
                </c:rich>
              </c:tx>
              <c:numFmt formatCode="General" sourceLinked="0"/>
              <c:spPr>
                <a:solidFill>
                  <a:schemeClr val="accent4">
                    <a:lumMod val="40000"/>
                    <a:lumOff val="6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trendlineLbl>
          </c:trendline>
          <c:xVal>
            <c:numRef>
              <c:f>'Regresión lineal múltiple'!$H$11:$H$20</c:f>
              <c:numCache>
                <c:formatCode>General</c:formatCode>
                <c:ptCount val="10"/>
                <c:pt idx="0">
                  <c:v>12</c:v>
                </c:pt>
                <c:pt idx="1">
                  <c:v>14</c:v>
                </c:pt>
                <c:pt idx="2">
                  <c:v>16</c:v>
                </c:pt>
                <c:pt idx="3">
                  <c:v>11</c:v>
                </c:pt>
                <c:pt idx="4">
                  <c:v>12</c:v>
                </c:pt>
                <c:pt idx="5">
                  <c:v>16</c:v>
                </c:pt>
                <c:pt idx="6">
                  <c:v>16</c:v>
                </c:pt>
                <c:pt idx="7">
                  <c:v>8</c:v>
                </c:pt>
                <c:pt idx="8">
                  <c:v>16</c:v>
                </c:pt>
                <c:pt idx="9">
                  <c:v>18</c:v>
                </c:pt>
              </c:numCache>
            </c:numRef>
          </c:xVal>
          <c:yVal>
            <c:numRef>
              <c:f>'Regresión lineal múltiple'!$I$11:$I$20</c:f>
              <c:numCache>
                <c:formatCode>General</c:formatCode>
                <c:ptCount val="10"/>
                <c:pt idx="0">
                  <c:v>75</c:v>
                </c:pt>
                <c:pt idx="1">
                  <c:v>241</c:v>
                </c:pt>
                <c:pt idx="2">
                  <c:v>310</c:v>
                </c:pt>
                <c:pt idx="3">
                  <c:v>50</c:v>
                </c:pt>
                <c:pt idx="4">
                  <c:v>250</c:v>
                </c:pt>
                <c:pt idx="5">
                  <c:v>250</c:v>
                </c:pt>
                <c:pt idx="6">
                  <c:v>259</c:v>
                </c:pt>
                <c:pt idx="7">
                  <c:v>302</c:v>
                </c:pt>
                <c:pt idx="8">
                  <c:v>247</c:v>
                </c:pt>
                <c:pt idx="9">
                  <c:v>180</c:v>
                </c:pt>
              </c:numCache>
            </c:numRef>
          </c:yVal>
          <c:smooth val="0"/>
          <c:extLst>
            <c:ext xmlns:c16="http://schemas.microsoft.com/office/drawing/2014/chart" uri="{C3380CC4-5D6E-409C-BE32-E72D297353CC}">
              <c16:uniqueId val="{00000000-3818-40D2-B672-4FFB4CB57FD0}"/>
            </c:ext>
          </c:extLst>
        </c:ser>
        <c:dLbls>
          <c:showLegendKey val="0"/>
          <c:showVal val="0"/>
          <c:showCatName val="0"/>
          <c:showSerName val="0"/>
          <c:showPercent val="0"/>
          <c:showBubbleSize val="0"/>
        </c:dLbls>
        <c:axId val="2115364959"/>
        <c:axId val="2115364479"/>
      </c:scatterChart>
      <c:valAx>
        <c:axId val="21153649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115364479"/>
        <c:crosses val="autoZero"/>
        <c:crossBetween val="midCat"/>
      </c:valAx>
      <c:valAx>
        <c:axId val="2115364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11536495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MX"/>
              <a:t>Gráfico de probabilidad normal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MX"/>
        </a:p>
      </c:txPr>
    </c:title>
    <c:autoTitleDeleted val="0"/>
    <c:plotArea>
      <c:layout>
        <c:manualLayout>
          <c:layoutTarget val="inner"/>
          <c:xMode val="edge"/>
          <c:yMode val="edge"/>
          <c:x val="0.13075434154801449"/>
          <c:y val="0.12741429228562925"/>
          <c:w val="0.82596896073831483"/>
          <c:h val="0.69644586952404142"/>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prstDash val="sysDash"/>
              </a:ln>
              <a:effectLst/>
            </c:spPr>
            <c:trendlineType val="linear"/>
            <c:dispRSqr val="1"/>
            <c:dispEq val="1"/>
            <c:trendlineLbl>
              <c:layout>
                <c:manualLayout>
                  <c:x val="-0.45425212335183768"/>
                  <c:y val="6.0754390237302809E-3"/>
                </c:manualLayout>
              </c:layout>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b="1" baseline="0">
                        <a:solidFill>
                          <a:sysClr val="windowText" lastClr="000000"/>
                        </a:solidFill>
                      </a:rPr>
                      <a:t>y = 2.6388x + 84.461</a:t>
                    </a:r>
                    <a:br>
                      <a:rPr lang="en-US" b="1" baseline="0">
                        <a:solidFill>
                          <a:sysClr val="windowText" lastClr="000000"/>
                        </a:solidFill>
                      </a:rPr>
                    </a:br>
                    <a:r>
                      <a:rPr lang="en-US" b="1" baseline="0">
                        <a:solidFill>
                          <a:sysClr val="windowText" lastClr="000000"/>
                        </a:solidFill>
                      </a:rPr>
                      <a:t>R² = 0.8124</a:t>
                    </a:r>
                    <a:endParaRPr lang="en-US" b="1">
                      <a:solidFill>
                        <a:sysClr val="windowText" lastClr="000000"/>
                      </a:solidFill>
                    </a:endParaRPr>
                  </a:p>
                </c:rich>
              </c:tx>
              <c:numFmt formatCode="General" sourceLinked="0"/>
              <c:spPr>
                <a:solidFill>
                  <a:schemeClr val="accent4">
                    <a:lumMod val="40000"/>
                    <a:lumOff val="60000"/>
                  </a:schemeClr>
                </a:solid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trendlineLbl>
          </c:trendline>
          <c:xVal>
            <c:numRef>
              <c:f>Hoja5!$A$26:$A$35</c:f>
              <c:numCache>
                <c:formatCode>General</c:formatCode>
                <c:ptCount val="10"/>
                <c:pt idx="0">
                  <c:v>5</c:v>
                </c:pt>
                <c:pt idx="1">
                  <c:v>15</c:v>
                </c:pt>
                <c:pt idx="2">
                  <c:v>25</c:v>
                </c:pt>
                <c:pt idx="3">
                  <c:v>35</c:v>
                </c:pt>
                <c:pt idx="4">
                  <c:v>45</c:v>
                </c:pt>
                <c:pt idx="5">
                  <c:v>55</c:v>
                </c:pt>
                <c:pt idx="6">
                  <c:v>65</c:v>
                </c:pt>
                <c:pt idx="7">
                  <c:v>75</c:v>
                </c:pt>
                <c:pt idx="8">
                  <c:v>85</c:v>
                </c:pt>
                <c:pt idx="9">
                  <c:v>95</c:v>
                </c:pt>
              </c:numCache>
            </c:numRef>
          </c:xVal>
          <c:yVal>
            <c:numRef>
              <c:f>Hoja5!$B$26:$B$35</c:f>
              <c:numCache>
                <c:formatCode>General</c:formatCode>
                <c:ptCount val="10"/>
                <c:pt idx="0">
                  <c:v>50</c:v>
                </c:pt>
                <c:pt idx="1">
                  <c:v>75</c:v>
                </c:pt>
                <c:pt idx="2">
                  <c:v>180</c:v>
                </c:pt>
                <c:pt idx="3">
                  <c:v>241</c:v>
                </c:pt>
                <c:pt idx="4">
                  <c:v>247</c:v>
                </c:pt>
                <c:pt idx="5">
                  <c:v>250</c:v>
                </c:pt>
                <c:pt idx="6">
                  <c:v>250</c:v>
                </c:pt>
                <c:pt idx="7">
                  <c:v>259</c:v>
                </c:pt>
                <c:pt idx="8">
                  <c:v>302</c:v>
                </c:pt>
                <c:pt idx="9">
                  <c:v>310</c:v>
                </c:pt>
              </c:numCache>
            </c:numRef>
          </c:yVal>
          <c:smooth val="0"/>
          <c:extLst>
            <c:ext xmlns:c16="http://schemas.microsoft.com/office/drawing/2014/chart" uri="{C3380CC4-5D6E-409C-BE32-E72D297353CC}">
              <c16:uniqueId val="{00000001-E205-4417-8C52-F9A8D70E3DFC}"/>
            </c:ext>
          </c:extLst>
        </c:ser>
        <c:dLbls>
          <c:showLegendKey val="0"/>
          <c:showVal val="0"/>
          <c:showCatName val="0"/>
          <c:showSerName val="0"/>
          <c:showPercent val="0"/>
          <c:showBubbleSize val="0"/>
        </c:dLbls>
        <c:axId val="1787158047"/>
        <c:axId val="1787158527"/>
      </c:scatterChart>
      <c:valAx>
        <c:axId val="1787158047"/>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s-MX"/>
                  <a:t>Muestra percentil</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s-MX"/>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1787158527"/>
        <c:crosses val="autoZero"/>
        <c:crossBetween val="midCat"/>
      </c:valAx>
      <c:valAx>
        <c:axId val="178715852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s-MX"/>
                  <a:t>Quejas (y)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s-MX"/>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178715804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MX" sz="1800"/>
              <a:t>Correlación</a:t>
            </a:r>
            <a:r>
              <a:rPr lang="es-MX" sz="1800" baseline="0"/>
              <a:t> y regresión linela entre gastos y ventas</a:t>
            </a:r>
            <a:endParaRPr lang="es-MX" sz="1800"/>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MX"/>
        </a:p>
      </c:txPr>
    </c:title>
    <c:autoTitleDeleted val="0"/>
    <c:plotArea>
      <c:layout/>
      <c:scatterChart>
        <c:scatterStyle val="lineMarker"/>
        <c:varyColors val="0"/>
        <c:ser>
          <c:idx val="0"/>
          <c:order val="0"/>
          <c:spPr>
            <a:ln w="95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prstDash val="sysDash"/>
              </a:ln>
              <a:effectLst/>
            </c:spPr>
            <c:trendlineType val="linear"/>
            <c:dispRSqr val="1"/>
            <c:dispEq val="1"/>
            <c:trendlineLbl>
              <c:layout>
                <c:manualLayout>
                  <c:x val="-5.3953191621798263E-2"/>
                  <c:y val="-0.1505499880696731"/>
                </c:manualLayout>
              </c:layout>
              <c:numFmt formatCode="General" sourceLinked="0"/>
              <c:spPr>
                <a:solidFill>
                  <a:schemeClr val="accent1"/>
                </a:solid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s-MX"/>
                </a:p>
              </c:txPr>
            </c:trendlineLbl>
          </c:trendline>
          <c:xVal>
            <c:numRef>
              <c:f>'Correlación y regresión simple'!$C$12:$C$23</c:f>
              <c:numCache>
                <c:formatCode>General</c:formatCode>
                <c:ptCount val="12"/>
                <c:pt idx="0">
                  <c:v>1200</c:v>
                </c:pt>
                <c:pt idx="1">
                  <c:v>1300</c:v>
                </c:pt>
                <c:pt idx="2">
                  <c:v>1450</c:v>
                </c:pt>
                <c:pt idx="3">
                  <c:v>1600</c:v>
                </c:pt>
                <c:pt idx="4">
                  <c:v>2000</c:v>
                </c:pt>
                <c:pt idx="5">
                  <c:v>2450</c:v>
                </c:pt>
                <c:pt idx="6">
                  <c:v>3100</c:v>
                </c:pt>
                <c:pt idx="7">
                  <c:v>1200</c:v>
                </c:pt>
                <c:pt idx="8">
                  <c:v>1900</c:v>
                </c:pt>
                <c:pt idx="9">
                  <c:v>2500</c:v>
                </c:pt>
                <c:pt idx="10">
                  <c:v>3000</c:v>
                </c:pt>
                <c:pt idx="11">
                  <c:v>4000</c:v>
                </c:pt>
              </c:numCache>
            </c:numRef>
          </c:xVal>
          <c:yVal>
            <c:numRef>
              <c:f>'Correlación y regresión simple'!$D$12:$D$23</c:f>
              <c:numCache>
                <c:formatCode>General</c:formatCode>
                <c:ptCount val="12"/>
                <c:pt idx="0">
                  <c:v>30000</c:v>
                </c:pt>
                <c:pt idx="1">
                  <c:v>40000</c:v>
                </c:pt>
                <c:pt idx="2">
                  <c:v>35000</c:v>
                </c:pt>
                <c:pt idx="3">
                  <c:v>35000</c:v>
                </c:pt>
                <c:pt idx="4">
                  <c:v>35000</c:v>
                </c:pt>
                <c:pt idx="5">
                  <c:v>50000</c:v>
                </c:pt>
                <c:pt idx="6">
                  <c:v>60000</c:v>
                </c:pt>
                <c:pt idx="7">
                  <c:v>65000</c:v>
                </c:pt>
                <c:pt idx="8">
                  <c:v>40000</c:v>
                </c:pt>
                <c:pt idx="9">
                  <c:v>45000</c:v>
                </c:pt>
                <c:pt idx="10">
                  <c:v>50000</c:v>
                </c:pt>
                <c:pt idx="11">
                  <c:v>50000</c:v>
                </c:pt>
              </c:numCache>
            </c:numRef>
          </c:yVal>
          <c:smooth val="0"/>
          <c:extLst>
            <c:ext xmlns:c16="http://schemas.microsoft.com/office/drawing/2014/chart" uri="{C3380CC4-5D6E-409C-BE32-E72D297353CC}">
              <c16:uniqueId val="{00000000-B772-452F-B46C-39CFAEB5B719}"/>
            </c:ext>
          </c:extLst>
        </c:ser>
        <c:dLbls>
          <c:showLegendKey val="0"/>
          <c:showVal val="0"/>
          <c:showCatName val="0"/>
          <c:showSerName val="0"/>
          <c:showPercent val="0"/>
          <c:showBubbleSize val="0"/>
        </c:dLbls>
        <c:axId val="1644310223"/>
        <c:axId val="1644308303"/>
      </c:scatterChart>
      <c:valAx>
        <c:axId val="164431022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1644308303"/>
        <c:crosses val="autoZero"/>
        <c:crossBetween val="midCat"/>
      </c:valAx>
      <c:valAx>
        <c:axId val="16443083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164431022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251460</xdr:colOff>
      <xdr:row>0</xdr:row>
      <xdr:rowOff>175260</xdr:rowOff>
    </xdr:from>
    <xdr:to>
      <xdr:col>15</xdr:col>
      <xdr:colOff>662940</xdr:colOff>
      <xdr:row>20</xdr:row>
      <xdr:rowOff>167640</xdr:rowOff>
    </xdr:to>
    <xdr:graphicFrame macro="">
      <xdr:nvGraphicFramePr>
        <xdr:cNvPr id="2" name="Gráfico 1">
          <a:extLst>
            <a:ext uri="{FF2B5EF4-FFF2-40B4-BE49-F238E27FC236}">
              <a16:creationId xmlns:a16="http://schemas.microsoft.com/office/drawing/2014/main" id="{E8EBA07E-AADD-E354-98F8-C5E17F50C7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472440</xdr:colOff>
      <xdr:row>8</xdr:row>
      <xdr:rowOff>121920</xdr:rowOff>
    </xdr:from>
    <xdr:to>
      <xdr:col>18</xdr:col>
      <xdr:colOff>167640</xdr:colOff>
      <xdr:row>23</xdr:row>
      <xdr:rowOff>121920</xdr:rowOff>
    </xdr:to>
    <xdr:graphicFrame macro="">
      <xdr:nvGraphicFramePr>
        <xdr:cNvPr id="2" name="Gráfico 1">
          <a:extLst>
            <a:ext uri="{FF2B5EF4-FFF2-40B4-BE49-F238E27FC236}">
              <a16:creationId xmlns:a16="http://schemas.microsoft.com/office/drawing/2014/main" id="{72AC0A0F-1001-A225-BC4E-923A58E8F1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561975</xdr:colOff>
      <xdr:row>31</xdr:row>
      <xdr:rowOff>150494</xdr:rowOff>
    </xdr:from>
    <xdr:to>
      <xdr:col>20</xdr:col>
      <xdr:colOff>104775</xdr:colOff>
      <xdr:row>59</xdr:row>
      <xdr:rowOff>76199</xdr:rowOff>
    </xdr:to>
    <xdr:graphicFrame macro="">
      <xdr:nvGraphicFramePr>
        <xdr:cNvPr id="3" name="Gráfico 2">
          <a:extLst>
            <a:ext uri="{FF2B5EF4-FFF2-40B4-BE49-F238E27FC236}">
              <a16:creationId xmlns:a16="http://schemas.microsoft.com/office/drawing/2014/main" id="{B2C448B1-CE81-4A99-B27A-C0727FBF6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676275</xdr:colOff>
      <xdr:row>1</xdr:row>
      <xdr:rowOff>104775</xdr:rowOff>
    </xdr:from>
    <xdr:to>
      <xdr:col>22</xdr:col>
      <xdr:colOff>38100</xdr:colOff>
      <xdr:row>29</xdr:row>
      <xdr:rowOff>66675</xdr:rowOff>
    </xdr:to>
    <xdr:graphicFrame macro="">
      <xdr:nvGraphicFramePr>
        <xdr:cNvPr id="3" name="Gráfico 2">
          <a:extLst>
            <a:ext uri="{FF2B5EF4-FFF2-40B4-BE49-F238E27FC236}">
              <a16:creationId xmlns:a16="http://schemas.microsoft.com/office/drawing/2014/main" id="{09E393BA-A74D-77F0-E6D5-FE08C2DB1D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68358-6765-46A4-96C8-42DEE2423918}">
  <dimension ref="A1:I35"/>
  <sheetViews>
    <sheetView workbookViewId="0">
      <selection activeCell="L26" sqref="L26"/>
    </sheetView>
  </sheetViews>
  <sheetFormatPr baseColWidth="10" defaultRowHeight="14.4" x14ac:dyDescent="0.3"/>
  <sheetData>
    <row r="1" spans="1:9" x14ac:dyDescent="0.3">
      <c r="A1" t="s">
        <v>16</v>
      </c>
    </row>
    <row r="2" spans="1:9" ht="15" thickBot="1" x14ac:dyDescent="0.35"/>
    <row r="3" spans="1:9" x14ac:dyDescent="0.3">
      <c r="A3" s="4" t="s">
        <v>17</v>
      </c>
      <c r="B3" s="4"/>
    </row>
    <row r="4" spans="1:9" x14ac:dyDescent="0.3">
      <c r="A4" s="1" t="s">
        <v>18</v>
      </c>
      <c r="B4" s="1">
        <v>0.18639556941807048</v>
      </c>
    </row>
    <row r="5" spans="1:9" x14ac:dyDescent="0.3">
      <c r="A5" s="1" t="s">
        <v>19</v>
      </c>
      <c r="B5" s="1">
        <v>3.4743308298686736E-2</v>
      </c>
    </row>
    <row r="6" spans="1:9" x14ac:dyDescent="0.3">
      <c r="A6" s="1" t="s">
        <v>20</v>
      </c>
      <c r="B6" s="1">
        <v>-0.24104431790168851</v>
      </c>
    </row>
    <row r="7" spans="1:9" x14ac:dyDescent="0.3">
      <c r="A7" s="1" t="s">
        <v>21</v>
      </c>
      <c r="B7" s="1">
        <v>98.744755211806094</v>
      </c>
    </row>
    <row r="8" spans="1:9" ht="15" thickBot="1" x14ac:dyDescent="0.35">
      <c r="A8" s="2" t="s">
        <v>22</v>
      </c>
      <c r="B8" s="2">
        <v>10</v>
      </c>
    </row>
    <row r="10" spans="1:9" ht="15" thickBot="1" x14ac:dyDescent="0.35">
      <c r="A10" t="s">
        <v>23</v>
      </c>
    </row>
    <row r="11" spans="1:9" x14ac:dyDescent="0.3">
      <c r="A11" s="3"/>
      <c r="B11" s="3" t="s">
        <v>28</v>
      </c>
      <c r="C11" s="3" t="s">
        <v>29</v>
      </c>
      <c r="D11" s="3" t="s">
        <v>30</v>
      </c>
      <c r="E11" s="3" t="s">
        <v>31</v>
      </c>
      <c r="F11" s="3" t="s">
        <v>32</v>
      </c>
    </row>
    <row r="12" spans="1:9" x14ac:dyDescent="0.3">
      <c r="A12" s="1" t="s">
        <v>24</v>
      </c>
      <c r="B12" s="1">
        <v>2</v>
      </c>
      <c r="C12" s="1">
        <v>2456.7132271234586</v>
      </c>
      <c r="D12" s="1">
        <v>1228.3566135617293</v>
      </c>
      <c r="E12" s="1">
        <v>0.12597848851073459</v>
      </c>
      <c r="F12" s="1">
        <v>0.88358813161136074</v>
      </c>
    </row>
    <row r="13" spans="1:9" x14ac:dyDescent="0.3">
      <c r="A13" s="1" t="s">
        <v>25</v>
      </c>
      <c r="B13" s="1">
        <v>7</v>
      </c>
      <c r="C13" s="1">
        <v>68253.68677287655</v>
      </c>
      <c r="D13" s="1">
        <v>9750.5266818395066</v>
      </c>
      <c r="E13" s="1"/>
      <c r="F13" s="1"/>
    </row>
    <row r="14" spans="1:9" ht="15" thickBot="1" x14ac:dyDescent="0.35">
      <c r="A14" s="2" t="s">
        <v>26</v>
      </c>
      <c r="B14" s="2">
        <v>9</v>
      </c>
      <c r="C14" s="2">
        <v>70710.400000000009</v>
      </c>
      <c r="D14" s="2"/>
      <c r="E14" s="2"/>
      <c r="F14" s="2"/>
    </row>
    <row r="15" spans="1:9" ht="15" thickBot="1" x14ac:dyDescent="0.35"/>
    <row r="16" spans="1:9" x14ac:dyDescent="0.3">
      <c r="A16" s="3"/>
      <c r="B16" s="3" t="s">
        <v>33</v>
      </c>
      <c r="C16" s="3" t="s">
        <v>21</v>
      </c>
      <c r="D16" s="3" t="s">
        <v>34</v>
      </c>
      <c r="E16" s="3" t="s">
        <v>35</v>
      </c>
      <c r="F16" s="3" t="s">
        <v>36</v>
      </c>
      <c r="G16" s="3" t="s">
        <v>37</v>
      </c>
      <c r="H16" s="3" t="s">
        <v>38</v>
      </c>
      <c r="I16" s="3" t="s">
        <v>39</v>
      </c>
    </row>
    <row r="17" spans="1:9" x14ac:dyDescent="0.3">
      <c r="A17" s="1" t="s">
        <v>27</v>
      </c>
      <c r="B17" s="1">
        <v>140.02348282530627</v>
      </c>
      <c r="C17" s="1">
        <v>177.27941635622781</v>
      </c>
      <c r="D17" s="1">
        <v>0.78984625346431125</v>
      </c>
      <c r="E17" s="1">
        <v>0.45553579165497393</v>
      </c>
      <c r="F17" s="1">
        <v>-279.17572439884464</v>
      </c>
      <c r="G17" s="1">
        <v>559.22269004945713</v>
      </c>
      <c r="H17" s="1">
        <v>-279.17572439884464</v>
      </c>
      <c r="I17" s="1">
        <v>559.22269004945713</v>
      </c>
    </row>
    <row r="18" spans="1:9" x14ac:dyDescent="0.3">
      <c r="A18" s="1" t="s">
        <v>4</v>
      </c>
      <c r="B18" s="1">
        <v>5.3907971882002599</v>
      </c>
      <c r="C18" s="1">
        <v>10.748606055192688</v>
      </c>
      <c r="D18" s="1">
        <v>0.5015345395039339</v>
      </c>
      <c r="E18" s="1">
        <v>0.63138073891156821</v>
      </c>
      <c r="F18" s="1">
        <v>-20.025617360725427</v>
      </c>
      <c r="G18" s="1">
        <v>30.807211737125947</v>
      </c>
      <c r="H18" s="1">
        <v>-20.025617360725427</v>
      </c>
      <c r="I18" s="1">
        <v>30.807211737125947</v>
      </c>
    </row>
    <row r="19" spans="1:9" ht="15" thickBot="1" x14ac:dyDescent="0.35">
      <c r="A19" s="2" t="s">
        <v>5</v>
      </c>
      <c r="B19" s="2">
        <v>0.11839641464837032</v>
      </c>
      <c r="C19" s="2">
        <v>6.5078377011849291</v>
      </c>
      <c r="D19" s="2">
        <v>1.8192896025482172E-2</v>
      </c>
      <c r="E19" s="2">
        <v>0.98599266420137965</v>
      </c>
      <c r="F19" s="2">
        <v>-15.270194439003353</v>
      </c>
      <c r="G19" s="2">
        <v>15.506987268300092</v>
      </c>
      <c r="H19" s="2">
        <v>-15.270194439003353</v>
      </c>
      <c r="I19" s="2">
        <v>15.506987268300092</v>
      </c>
    </row>
    <row r="23" spans="1:9" x14ac:dyDescent="0.3">
      <c r="A23" t="s">
        <v>40</v>
      </c>
    </row>
    <row r="24" spans="1:9" ht="15" thickBot="1" x14ac:dyDescent="0.35"/>
    <row r="25" spans="1:9" x14ac:dyDescent="0.3">
      <c r="A25" s="3" t="s">
        <v>41</v>
      </c>
      <c r="B25" s="3" t="s">
        <v>3</v>
      </c>
    </row>
    <row r="26" spans="1:9" x14ac:dyDescent="0.3">
      <c r="A26" s="1">
        <v>5</v>
      </c>
      <c r="B26" s="1">
        <v>50</v>
      </c>
    </row>
    <row r="27" spans="1:9" x14ac:dyDescent="0.3">
      <c r="A27" s="1">
        <v>15</v>
      </c>
      <c r="B27" s="1">
        <v>75</v>
      </c>
    </row>
    <row r="28" spans="1:9" x14ac:dyDescent="0.3">
      <c r="A28" s="1">
        <v>25</v>
      </c>
      <c r="B28" s="1">
        <v>180</v>
      </c>
    </row>
    <row r="29" spans="1:9" x14ac:dyDescent="0.3">
      <c r="A29" s="1">
        <v>35</v>
      </c>
      <c r="B29" s="1">
        <v>241</v>
      </c>
    </row>
    <row r="30" spans="1:9" x14ac:dyDescent="0.3">
      <c r="A30" s="1">
        <v>45</v>
      </c>
      <c r="B30" s="1">
        <v>247</v>
      </c>
    </row>
    <row r="31" spans="1:9" x14ac:dyDescent="0.3">
      <c r="A31" s="1">
        <v>55</v>
      </c>
      <c r="B31" s="1">
        <v>250</v>
      </c>
    </row>
    <row r="32" spans="1:9" x14ac:dyDescent="0.3">
      <c r="A32" s="1">
        <v>65</v>
      </c>
      <c r="B32" s="1">
        <v>250</v>
      </c>
    </row>
    <row r="33" spans="1:2" x14ac:dyDescent="0.3">
      <c r="A33" s="1">
        <v>75</v>
      </c>
      <c r="B33" s="1">
        <v>259</v>
      </c>
    </row>
    <row r="34" spans="1:2" x14ac:dyDescent="0.3">
      <c r="A34" s="1">
        <v>85</v>
      </c>
      <c r="B34" s="1">
        <v>302</v>
      </c>
    </row>
    <row r="35" spans="1:2" ht="15" thickBot="1" x14ac:dyDescent="0.35">
      <c r="A35" s="2">
        <v>95</v>
      </c>
      <c r="B35" s="2">
        <v>310</v>
      </c>
    </row>
  </sheetData>
  <sortState xmlns:xlrd2="http://schemas.microsoft.com/office/spreadsheetml/2017/richdata2" ref="B26:B35">
    <sortCondition ref="B26"/>
  </sortState>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I75"/>
  <sheetViews>
    <sheetView zoomScale="80" zoomScaleNormal="80" workbookViewId="0">
      <selection activeCell="A7" sqref="A7"/>
    </sheetView>
  </sheetViews>
  <sheetFormatPr baseColWidth="10" defaultColWidth="8.88671875" defaultRowHeight="15.6" x14ac:dyDescent="0.3"/>
  <cols>
    <col min="1" max="1" width="33.109375" style="5" customWidth="1"/>
    <col min="2" max="2" width="12" style="5" customWidth="1"/>
    <col min="3" max="3" width="15.33203125" style="5" customWidth="1"/>
    <col min="4" max="4" width="16.77734375" style="5" customWidth="1"/>
    <col min="5" max="5" width="11.88671875" style="5" customWidth="1"/>
    <col min="6" max="6" width="17.44140625" style="5" customWidth="1"/>
    <col min="7" max="7" width="13.44140625" style="5" customWidth="1"/>
    <col min="8" max="8" width="15.44140625" style="5" customWidth="1"/>
    <col min="9" max="9" width="15.33203125" style="5" customWidth="1"/>
    <col min="10" max="16384" width="8.88671875" style="5"/>
  </cols>
  <sheetData>
    <row r="3" spans="1:9" x14ac:dyDescent="0.3">
      <c r="A3" s="6" t="s">
        <v>0</v>
      </c>
    </row>
    <row r="5" spans="1:9" x14ac:dyDescent="0.3">
      <c r="A5" s="5" t="s">
        <v>1</v>
      </c>
    </row>
    <row r="10" spans="1:9" x14ac:dyDescent="0.3">
      <c r="A10" s="13" t="s">
        <v>2</v>
      </c>
      <c r="B10" s="13" t="s">
        <v>3</v>
      </c>
      <c r="C10" s="13" t="s">
        <v>4</v>
      </c>
      <c r="D10" s="13" t="s">
        <v>5</v>
      </c>
      <c r="H10" s="15" t="s">
        <v>4</v>
      </c>
      <c r="I10" s="15" t="s">
        <v>3</v>
      </c>
    </row>
    <row r="11" spans="1:9" x14ac:dyDescent="0.3">
      <c r="A11" s="14" t="s">
        <v>6</v>
      </c>
      <c r="B11" s="14">
        <v>75</v>
      </c>
      <c r="C11" s="14">
        <v>12</v>
      </c>
      <c r="D11" s="14">
        <v>8</v>
      </c>
      <c r="H11" s="16">
        <v>12</v>
      </c>
      <c r="I11" s="16">
        <v>75</v>
      </c>
    </row>
    <row r="12" spans="1:9" x14ac:dyDescent="0.3">
      <c r="A12" s="14" t="s">
        <v>7</v>
      </c>
      <c r="B12" s="14">
        <v>241</v>
      </c>
      <c r="C12" s="14">
        <v>14</v>
      </c>
      <c r="D12" s="14">
        <v>10</v>
      </c>
      <c r="H12" s="16">
        <v>14</v>
      </c>
      <c r="I12" s="16">
        <v>241</v>
      </c>
    </row>
    <row r="13" spans="1:9" x14ac:dyDescent="0.3">
      <c r="A13" s="14" t="s">
        <v>8</v>
      </c>
      <c r="B13" s="14">
        <v>310</v>
      </c>
      <c r="C13" s="14">
        <v>16</v>
      </c>
      <c r="D13" s="14">
        <v>9</v>
      </c>
      <c r="H13" s="16">
        <v>16</v>
      </c>
      <c r="I13" s="16">
        <v>310</v>
      </c>
    </row>
    <row r="14" spans="1:9" x14ac:dyDescent="0.3">
      <c r="A14" s="14" t="s">
        <v>9</v>
      </c>
      <c r="B14" s="14">
        <v>50</v>
      </c>
      <c r="C14" s="14">
        <v>11</v>
      </c>
      <c r="D14" s="14">
        <v>15</v>
      </c>
      <c r="H14" s="16">
        <v>11</v>
      </c>
      <c r="I14" s="16">
        <v>50</v>
      </c>
    </row>
    <row r="15" spans="1:9" x14ac:dyDescent="0.3">
      <c r="A15" s="14" t="s">
        <v>10</v>
      </c>
      <c r="B15" s="14">
        <v>250</v>
      </c>
      <c r="C15" s="14">
        <v>12</v>
      </c>
      <c r="D15" s="14">
        <v>20</v>
      </c>
      <c r="H15" s="16">
        <v>12</v>
      </c>
      <c r="I15" s="16">
        <v>250</v>
      </c>
    </row>
    <row r="16" spans="1:9" x14ac:dyDescent="0.3">
      <c r="A16" s="14" t="s">
        <v>11</v>
      </c>
      <c r="B16" s="14">
        <v>250</v>
      </c>
      <c r="C16" s="14">
        <v>16</v>
      </c>
      <c r="D16" s="14">
        <v>20</v>
      </c>
      <c r="H16" s="16">
        <v>16</v>
      </c>
      <c r="I16" s="16">
        <v>250</v>
      </c>
    </row>
    <row r="17" spans="1:9" x14ac:dyDescent="0.3">
      <c r="A17" s="14" t="s">
        <v>12</v>
      </c>
      <c r="B17" s="14">
        <v>259</v>
      </c>
      <c r="C17" s="14">
        <v>16</v>
      </c>
      <c r="D17" s="14">
        <v>5</v>
      </c>
      <c r="H17" s="16">
        <v>16</v>
      </c>
      <c r="I17" s="16">
        <v>259</v>
      </c>
    </row>
    <row r="18" spans="1:9" x14ac:dyDescent="0.3">
      <c r="A18" s="14" t="s">
        <v>13</v>
      </c>
      <c r="B18" s="14">
        <v>302</v>
      </c>
      <c r="C18" s="14">
        <v>8</v>
      </c>
      <c r="D18" s="14">
        <v>10</v>
      </c>
      <c r="H18" s="16">
        <v>8</v>
      </c>
      <c r="I18" s="16">
        <v>302</v>
      </c>
    </row>
    <row r="19" spans="1:9" x14ac:dyDescent="0.3">
      <c r="A19" s="14" t="s">
        <v>14</v>
      </c>
      <c r="B19" s="14">
        <v>247</v>
      </c>
      <c r="C19" s="14">
        <v>16</v>
      </c>
      <c r="D19" s="14">
        <v>15</v>
      </c>
      <c r="H19" s="16">
        <v>16</v>
      </c>
      <c r="I19" s="16">
        <v>247</v>
      </c>
    </row>
    <row r="20" spans="1:9" x14ac:dyDescent="0.3">
      <c r="A20" s="14" t="s">
        <v>15</v>
      </c>
      <c r="B20" s="14">
        <v>180</v>
      </c>
      <c r="C20" s="14">
        <v>18</v>
      </c>
      <c r="D20" s="14">
        <v>10</v>
      </c>
      <c r="H20" s="16">
        <v>18</v>
      </c>
      <c r="I20" s="16">
        <v>180</v>
      </c>
    </row>
    <row r="28" spans="1:9" x14ac:dyDescent="0.3">
      <c r="A28" s="6" t="s">
        <v>16</v>
      </c>
    </row>
    <row r="29" spans="1:9" ht="16.2" thickBot="1" x14ac:dyDescent="0.35"/>
    <row r="30" spans="1:9" x14ac:dyDescent="0.3">
      <c r="A30" s="7" t="s">
        <v>17</v>
      </c>
      <c r="B30" s="7"/>
    </row>
    <row r="31" spans="1:9" x14ac:dyDescent="0.3">
      <c r="A31" s="8" t="s">
        <v>18</v>
      </c>
      <c r="B31" s="8">
        <v>0.18639556941807048</v>
      </c>
    </row>
    <row r="32" spans="1:9" x14ac:dyDescent="0.3">
      <c r="A32" s="8" t="s">
        <v>19</v>
      </c>
      <c r="B32" s="8">
        <v>3.4743308298686736E-2</v>
      </c>
    </row>
    <row r="33" spans="1:9" x14ac:dyDescent="0.3">
      <c r="A33" s="8" t="s">
        <v>20</v>
      </c>
      <c r="B33" s="8">
        <v>-0.24104431790168851</v>
      </c>
    </row>
    <row r="34" spans="1:9" x14ac:dyDescent="0.3">
      <c r="A34" s="8" t="s">
        <v>21</v>
      </c>
      <c r="B34" s="8">
        <v>98.744755211806094</v>
      </c>
    </row>
    <row r="35" spans="1:9" ht="16.2" thickBot="1" x14ac:dyDescent="0.35">
      <c r="A35" s="9" t="s">
        <v>22</v>
      </c>
      <c r="B35" s="9">
        <v>10</v>
      </c>
    </row>
    <row r="37" spans="1:9" ht="16.2" thickBot="1" x14ac:dyDescent="0.35">
      <c r="A37" s="6" t="s">
        <v>23</v>
      </c>
    </row>
    <row r="38" spans="1:9" x14ac:dyDescent="0.3">
      <c r="A38" s="10"/>
      <c r="B38" s="10" t="s">
        <v>28</v>
      </c>
      <c r="C38" s="10" t="s">
        <v>29</v>
      </c>
      <c r="D38" s="10" t="s">
        <v>30</v>
      </c>
      <c r="E38" s="10" t="s">
        <v>31</v>
      </c>
      <c r="F38" s="10" t="s">
        <v>32</v>
      </c>
    </row>
    <row r="39" spans="1:9" x14ac:dyDescent="0.3">
      <c r="A39" s="8" t="s">
        <v>24</v>
      </c>
      <c r="B39" s="8">
        <v>2</v>
      </c>
      <c r="C39" s="8">
        <v>2456.7132271234586</v>
      </c>
      <c r="D39" s="8">
        <v>1228.3566135617293</v>
      </c>
      <c r="E39" s="8">
        <v>0.12597848851073459</v>
      </c>
      <c r="F39" s="8">
        <v>0.88358813161136074</v>
      </c>
    </row>
    <row r="40" spans="1:9" x14ac:dyDescent="0.3">
      <c r="A40" s="8" t="s">
        <v>25</v>
      </c>
      <c r="B40" s="8">
        <v>7</v>
      </c>
      <c r="C40" s="8">
        <v>68253.68677287655</v>
      </c>
      <c r="D40" s="8">
        <v>9750.5266818395066</v>
      </c>
      <c r="E40" s="8"/>
      <c r="F40" s="8"/>
    </row>
    <row r="41" spans="1:9" ht="16.2" thickBot="1" x14ac:dyDescent="0.35">
      <c r="A41" s="9" t="s">
        <v>26</v>
      </c>
      <c r="B41" s="9">
        <v>9</v>
      </c>
      <c r="C41" s="9">
        <v>70710.400000000009</v>
      </c>
      <c r="D41" s="9"/>
      <c r="E41" s="9"/>
      <c r="F41" s="9"/>
    </row>
    <row r="42" spans="1:9" ht="16.2" thickBot="1" x14ac:dyDescent="0.35"/>
    <row r="43" spans="1:9" x14ac:dyDescent="0.3">
      <c r="A43" s="10"/>
      <c r="B43" s="10" t="s">
        <v>33</v>
      </c>
      <c r="C43" s="10" t="s">
        <v>21</v>
      </c>
      <c r="D43" s="10" t="s">
        <v>34</v>
      </c>
      <c r="E43" s="10" t="s">
        <v>35</v>
      </c>
      <c r="F43" s="10" t="s">
        <v>36</v>
      </c>
      <c r="G43" s="10" t="s">
        <v>37</v>
      </c>
      <c r="H43" s="10" t="s">
        <v>38</v>
      </c>
      <c r="I43" s="10" t="s">
        <v>39</v>
      </c>
    </row>
    <row r="44" spans="1:9" x14ac:dyDescent="0.3">
      <c r="A44" s="8" t="s">
        <v>27</v>
      </c>
      <c r="B44" s="8">
        <v>140.02348282530627</v>
      </c>
      <c r="C44" s="8">
        <v>177.27941635622781</v>
      </c>
      <c r="D44" s="8">
        <v>0.78984625346431125</v>
      </c>
      <c r="E44" s="8">
        <v>0.45553579165497393</v>
      </c>
      <c r="F44" s="8">
        <v>-279.17572439884464</v>
      </c>
      <c r="G44" s="8">
        <v>559.22269004945713</v>
      </c>
      <c r="H44" s="8">
        <v>-279.17572439884464</v>
      </c>
      <c r="I44" s="8">
        <v>559.22269004945713</v>
      </c>
    </row>
    <row r="45" spans="1:9" x14ac:dyDescent="0.3">
      <c r="A45" s="8" t="s">
        <v>4</v>
      </c>
      <c r="B45" s="8">
        <v>5.3907971882002599</v>
      </c>
      <c r="C45" s="8">
        <v>10.748606055192688</v>
      </c>
      <c r="D45" s="8">
        <v>0.5015345395039339</v>
      </c>
      <c r="E45" s="8">
        <v>0.63138073891156821</v>
      </c>
      <c r="F45" s="8">
        <v>-20.025617360725427</v>
      </c>
      <c r="G45" s="8">
        <v>30.807211737125947</v>
      </c>
      <c r="H45" s="8">
        <v>-20.025617360725427</v>
      </c>
      <c r="I45" s="8">
        <v>30.807211737125947</v>
      </c>
    </row>
    <row r="46" spans="1:9" ht="16.2" thickBot="1" x14ac:dyDescent="0.35">
      <c r="A46" s="9" t="s">
        <v>5</v>
      </c>
      <c r="B46" s="9">
        <v>0.11839641464837032</v>
      </c>
      <c r="C46" s="9">
        <v>6.5078377011849291</v>
      </c>
      <c r="D46" s="9">
        <v>1.8192896025482172E-2</v>
      </c>
      <c r="E46" s="9">
        <v>0.98599266420137965</v>
      </c>
      <c r="F46" s="9">
        <v>-15.270194439003353</v>
      </c>
      <c r="G46" s="9">
        <v>15.506987268300092</v>
      </c>
      <c r="H46" s="9">
        <v>-15.270194439003353</v>
      </c>
      <c r="I46" s="9">
        <v>15.506987268300092</v>
      </c>
    </row>
    <row r="50" spans="1:2" x14ac:dyDescent="0.3">
      <c r="A50" s="6" t="s">
        <v>40</v>
      </c>
    </row>
    <row r="51" spans="1:2" ht="16.2" thickBot="1" x14ac:dyDescent="0.35"/>
    <row r="52" spans="1:2" x14ac:dyDescent="0.3">
      <c r="A52" s="10" t="s">
        <v>41</v>
      </c>
      <c r="B52" s="10" t="s">
        <v>3</v>
      </c>
    </row>
    <row r="53" spans="1:2" x14ac:dyDescent="0.3">
      <c r="A53" s="11">
        <v>5</v>
      </c>
      <c r="B53" s="11">
        <v>50</v>
      </c>
    </row>
    <row r="54" spans="1:2" x14ac:dyDescent="0.3">
      <c r="A54" s="11">
        <v>15</v>
      </c>
      <c r="B54" s="11">
        <v>75</v>
      </c>
    </row>
    <row r="55" spans="1:2" x14ac:dyDescent="0.3">
      <c r="A55" s="11">
        <v>25</v>
      </c>
      <c r="B55" s="11">
        <v>180</v>
      </c>
    </row>
    <row r="56" spans="1:2" x14ac:dyDescent="0.3">
      <c r="A56" s="11">
        <v>35</v>
      </c>
      <c r="B56" s="11">
        <v>241</v>
      </c>
    </row>
    <row r="57" spans="1:2" x14ac:dyDescent="0.3">
      <c r="A57" s="11">
        <v>45</v>
      </c>
      <c r="B57" s="11">
        <v>247</v>
      </c>
    </row>
    <row r="58" spans="1:2" x14ac:dyDescent="0.3">
      <c r="A58" s="11">
        <v>55</v>
      </c>
      <c r="B58" s="11">
        <v>250</v>
      </c>
    </row>
    <row r="59" spans="1:2" x14ac:dyDescent="0.3">
      <c r="A59" s="11">
        <v>65</v>
      </c>
      <c r="B59" s="11">
        <v>250</v>
      </c>
    </row>
    <row r="60" spans="1:2" x14ac:dyDescent="0.3">
      <c r="A60" s="11">
        <v>75</v>
      </c>
      <c r="B60" s="11">
        <v>259</v>
      </c>
    </row>
    <row r="61" spans="1:2" x14ac:dyDescent="0.3">
      <c r="A61" s="11">
        <v>85</v>
      </c>
      <c r="B61" s="11">
        <v>302</v>
      </c>
    </row>
    <row r="62" spans="1:2" ht="16.2" thickBot="1" x14ac:dyDescent="0.35">
      <c r="A62" s="12">
        <v>95</v>
      </c>
      <c r="B62" s="12">
        <v>310</v>
      </c>
    </row>
    <row r="65" spans="1:8" x14ac:dyDescent="0.3">
      <c r="A65" s="6" t="s">
        <v>42</v>
      </c>
    </row>
    <row r="67" spans="1:8" ht="15.6" customHeight="1" x14ac:dyDescent="0.3">
      <c r="A67" s="20" t="s">
        <v>43</v>
      </c>
      <c r="B67" s="20"/>
      <c r="C67" s="20"/>
      <c r="D67" s="20"/>
      <c r="E67" s="20"/>
      <c r="F67" s="20"/>
      <c r="G67" s="17"/>
      <c r="H67" s="17"/>
    </row>
    <row r="68" spans="1:8" x14ac:dyDescent="0.3">
      <c r="A68" s="20"/>
      <c r="B68" s="20"/>
      <c r="C68" s="20"/>
      <c r="D68" s="20"/>
      <c r="E68" s="20"/>
      <c r="F68" s="20"/>
      <c r="G68" s="17"/>
      <c r="H68" s="17"/>
    </row>
    <row r="69" spans="1:8" x14ac:dyDescent="0.3">
      <c r="A69" s="20"/>
      <c r="B69" s="20"/>
      <c r="C69" s="20"/>
      <c r="D69" s="20"/>
      <c r="E69" s="20"/>
      <c r="F69" s="20"/>
      <c r="G69" s="17"/>
      <c r="H69" s="17"/>
    </row>
    <row r="70" spans="1:8" x14ac:dyDescent="0.3">
      <c r="A70" s="20"/>
      <c r="B70" s="20"/>
      <c r="C70" s="20"/>
      <c r="D70" s="20"/>
      <c r="E70" s="20"/>
      <c r="F70" s="20"/>
      <c r="G70" s="17"/>
      <c r="H70" s="17"/>
    </row>
    <row r="71" spans="1:8" x14ac:dyDescent="0.3">
      <c r="A71" s="20"/>
      <c r="B71" s="20"/>
      <c r="C71" s="20"/>
      <c r="D71" s="20"/>
      <c r="E71" s="20"/>
      <c r="F71" s="20"/>
      <c r="G71" s="17"/>
      <c r="H71" s="17"/>
    </row>
    <row r="72" spans="1:8" x14ac:dyDescent="0.3">
      <c r="A72" s="20"/>
      <c r="B72" s="20"/>
      <c r="C72" s="20"/>
      <c r="D72" s="20"/>
      <c r="E72" s="20"/>
      <c r="F72" s="20"/>
      <c r="G72" s="17"/>
      <c r="H72" s="17"/>
    </row>
    <row r="73" spans="1:8" x14ac:dyDescent="0.3">
      <c r="A73" s="20"/>
      <c r="B73" s="20"/>
      <c r="C73" s="20"/>
      <c r="D73" s="20"/>
      <c r="E73" s="20"/>
      <c r="F73" s="20"/>
      <c r="G73" s="17"/>
      <c r="H73" s="17"/>
    </row>
    <row r="74" spans="1:8" x14ac:dyDescent="0.3">
      <c r="A74" s="17"/>
      <c r="B74" s="17"/>
      <c r="C74" s="17"/>
      <c r="D74" s="17"/>
      <c r="E74" s="17"/>
      <c r="F74" s="17"/>
      <c r="G74" s="17"/>
      <c r="H74" s="17"/>
    </row>
    <row r="75" spans="1:8" x14ac:dyDescent="0.3">
      <c r="A75" s="17"/>
      <c r="B75" s="17"/>
      <c r="C75" s="17"/>
      <c r="D75" s="17"/>
      <c r="E75" s="17"/>
      <c r="F75" s="17"/>
      <c r="G75" s="17"/>
      <c r="H75" s="17"/>
    </row>
  </sheetData>
  <mergeCells count="1">
    <mergeCell ref="A67:F7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4954-6DAF-4AD1-B583-56AC06A37BA2}">
  <dimension ref="B1:O47"/>
  <sheetViews>
    <sheetView tabSelected="1" zoomScale="80" zoomScaleNormal="80" workbookViewId="0">
      <selection activeCell="G27" sqref="G27"/>
    </sheetView>
  </sheetViews>
  <sheetFormatPr baseColWidth="10" defaultRowHeight="15.6" x14ac:dyDescent="0.3"/>
  <cols>
    <col min="1" max="1" width="11.5546875" style="5"/>
    <col min="2" max="5" width="11.6640625" style="5" bestFit="1" customWidth="1"/>
    <col min="6" max="6" width="12.109375" style="5" bestFit="1" customWidth="1"/>
    <col min="7" max="8" width="11.6640625" style="5" bestFit="1" customWidth="1"/>
    <col min="9" max="16384" width="11.5546875" style="5"/>
  </cols>
  <sheetData>
    <row r="1" spans="2:7" x14ac:dyDescent="0.3">
      <c r="C1" s="6" t="s">
        <v>58</v>
      </c>
    </row>
    <row r="3" spans="2:7" ht="14.4" customHeight="1" x14ac:dyDescent="0.3">
      <c r="B3" s="21" t="s">
        <v>44</v>
      </c>
      <c r="C3" s="21"/>
      <c r="D3" s="21"/>
      <c r="E3" s="21"/>
      <c r="F3" s="21"/>
    </row>
    <row r="4" spans="2:7" x14ac:dyDescent="0.3">
      <c r="B4" s="21"/>
      <c r="C4" s="21"/>
      <c r="D4" s="21"/>
      <c r="E4" s="21"/>
      <c r="F4" s="21"/>
    </row>
    <row r="5" spans="2:7" x14ac:dyDescent="0.3">
      <c r="B5" s="21"/>
      <c r="C5" s="21"/>
      <c r="D5" s="21"/>
      <c r="E5" s="21"/>
      <c r="F5" s="21"/>
    </row>
    <row r="6" spans="2:7" x14ac:dyDescent="0.3">
      <c r="B6" s="21"/>
      <c r="C6" s="21"/>
      <c r="D6" s="21"/>
      <c r="E6" s="21"/>
      <c r="F6" s="21"/>
    </row>
    <row r="7" spans="2:7" x14ac:dyDescent="0.3">
      <c r="B7" s="21"/>
      <c r="C7" s="21"/>
      <c r="D7" s="21"/>
      <c r="E7" s="21"/>
      <c r="F7" s="21"/>
    </row>
    <row r="8" spans="2:7" x14ac:dyDescent="0.3">
      <c r="B8" s="21"/>
      <c r="C8" s="21"/>
      <c r="D8" s="21"/>
      <c r="E8" s="21"/>
      <c r="F8" s="21"/>
    </row>
    <row r="11" spans="2:7" x14ac:dyDescent="0.3">
      <c r="B11" s="18" t="s">
        <v>45</v>
      </c>
      <c r="C11" s="18" t="s">
        <v>46</v>
      </c>
      <c r="D11" s="18" t="s">
        <v>47</v>
      </c>
      <c r="E11" s="18" t="s">
        <v>48</v>
      </c>
      <c r="F11" s="18" t="s">
        <v>49</v>
      </c>
      <c r="G11" s="18" t="s">
        <v>50</v>
      </c>
    </row>
    <row r="12" spans="2:7" x14ac:dyDescent="0.3">
      <c r="B12" s="19">
        <v>1</v>
      </c>
      <c r="C12" s="19">
        <v>1200</v>
      </c>
      <c r="D12" s="19">
        <v>30000</v>
      </c>
      <c r="E12" s="19">
        <f>(C12)*(C12)</f>
        <v>1440000</v>
      </c>
      <c r="F12" s="19">
        <f>(D12)*(D12)</f>
        <v>900000000</v>
      </c>
      <c r="G12" s="19">
        <f>(C12)*(D12)</f>
        <v>36000000</v>
      </c>
    </row>
    <row r="13" spans="2:7" x14ac:dyDescent="0.3">
      <c r="B13" s="19">
        <v>2</v>
      </c>
      <c r="C13" s="19">
        <v>1300</v>
      </c>
      <c r="D13" s="19">
        <v>40000</v>
      </c>
      <c r="E13" s="19">
        <f t="shared" ref="E13:E23" si="0">(C13)*(C13)</f>
        <v>1690000</v>
      </c>
      <c r="F13" s="19">
        <f t="shared" ref="F13:F23" si="1">(D13)*(D13)</f>
        <v>1600000000</v>
      </c>
      <c r="G13" s="19">
        <f t="shared" ref="G13:G23" si="2">(C13)*(D13)</f>
        <v>52000000</v>
      </c>
    </row>
    <row r="14" spans="2:7" x14ac:dyDescent="0.3">
      <c r="B14" s="19">
        <v>3</v>
      </c>
      <c r="C14" s="19">
        <v>1450</v>
      </c>
      <c r="D14" s="19">
        <v>35000</v>
      </c>
      <c r="E14" s="19">
        <f t="shared" si="0"/>
        <v>2102500</v>
      </c>
      <c r="F14" s="19">
        <f t="shared" si="1"/>
        <v>1225000000</v>
      </c>
      <c r="G14" s="19">
        <f t="shared" si="2"/>
        <v>50750000</v>
      </c>
    </row>
    <row r="15" spans="2:7" x14ac:dyDescent="0.3">
      <c r="B15" s="19">
        <v>4</v>
      </c>
      <c r="C15" s="19">
        <v>1600</v>
      </c>
      <c r="D15" s="19">
        <v>35000</v>
      </c>
      <c r="E15" s="19">
        <f t="shared" si="0"/>
        <v>2560000</v>
      </c>
      <c r="F15" s="19">
        <f t="shared" si="1"/>
        <v>1225000000</v>
      </c>
      <c r="G15" s="19">
        <f t="shared" si="2"/>
        <v>56000000</v>
      </c>
    </row>
    <row r="16" spans="2:7" x14ac:dyDescent="0.3">
      <c r="B16" s="19">
        <v>5</v>
      </c>
      <c r="C16" s="19">
        <v>2000</v>
      </c>
      <c r="D16" s="19">
        <v>35000</v>
      </c>
      <c r="E16" s="19">
        <f t="shared" si="0"/>
        <v>4000000</v>
      </c>
      <c r="F16" s="19">
        <f t="shared" si="1"/>
        <v>1225000000</v>
      </c>
      <c r="G16" s="19">
        <f t="shared" si="2"/>
        <v>70000000</v>
      </c>
    </row>
    <row r="17" spans="2:8" x14ac:dyDescent="0.3">
      <c r="B17" s="19">
        <v>6</v>
      </c>
      <c r="C17" s="19">
        <v>2450</v>
      </c>
      <c r="D17" s="19">
        <v>50000</v>
      </c>
      <c r="E17" s="19">
        <f t="shared" si="0"/>
        <v>6002500</v>
      </c>
      <c r="F17" s="19">
        <f t="shared" si="1"/>
        <v>2500000000</v>
      </c>
      <c r="G17" s="19">
        <f t="shared" si="2"/>
        <v>122500000</v>
      </c>
    </row>
    <row r="18" spans="2:8" x14ac:dyDescent="0.3">
      <c r="B18" s="19">
        <v>7</v>
      </c>
      <c r="C18" s="19">
        <v>3100</v>
      </c>
      <c r="D18" s="19">
        <v>60000</v>
      </c>
      <c r="E18" s="19">
        <f t="shared" si="0"/>
        <v>9610000</v>
      </c>
      <c r="F18" s="19">
        <f t="shared" si="1"/>
        <v>3600000000</v>
      </c>
      <c r="G18" s="19">
        <f t="shared" si="2"/>
        <v>186000000</v>
      </c>
    </row>
    <row r="19" spans="2:8" x14ac:dyDescent="0.3">
      <c r="B19" s="19">
        <v>8</v>
      </c>
      <c r="C19" s="19">
        <v>1200</v>
      </c>
      <c r="D19" s="19">
        <v>65000</v>
      </c>
      <c r="E19" s="19">
        <f t="shared" si="0"/>
        <v>1440000</v>
      </c>
      <c r="F19" s="19">
        <f t="shared" si="1"/>
        <v>4225000000</v>
      </c>
      <c r="G19" s="19">
        <f t="shared" si="2"/>
        <v>78000000</v>
      </c>
    </row>
    <row r="20" spans="2:8" x14ac:dyDescent="0.3">
      <c r="B20" s="19">
        <v>9</v>
      </c>
      <c r="C20" s="19">
        <v>1900</v>
      </c>
      <c r="D20" s="19">
        <v>40000</v>
      </c>
      <c r="E20" s="19">
        <f t="shared" si="0"/>
        <v>3610000</v>
      </c>
      <c r="F20" s="19">
        <f t="shared" si="1"/>
        <v>1600000000</v>
      </c>
      <c r="G20" s="19">
        <f t="shared" si="2"/>
        <v>76000000</v>
      </c>
    </row>
    <row r="21" spans="2:8" x14ac:dyDescent="0.3">
      <c r="B21" s="19">
        <v>10</v>
      </c>
      <c r="C21" s="19">
        <v>2500</v>
      </c>
      <c r="D21" s="19">
        <v>45000</v>
      </c>
      <c r="E21" s="19">
        <f t="shared" si="0"/>
        <v>6250000</v>
      </c>
      <c r="F21" s="19">
        <f t="shared" si="1"/>
        <v>2025000000</v>
      </c>
      <c r="G21" s="19">
        <f t="shared" si="2"/>
        <v>112500000</v>
      </c>
    </row>
    <row r="22" spans="2:8" x14ac:dyDescent="0.3">
      <c r="B22" s="19">
        <v>11</v>
      </c>
      <c r="C22" s="19">
        <v>3000</v>
      </c>
      <c r="D22" s="19">
        <v>50000</v>
      </c>
      <c r="E22" s="19">
        <f t="shared" si="0"/>
        <v>9000000</v>
      </c>
      <c r="F22" s="19">
        <f t="shared" si="1"/>
        <v>2500000000</v>
      </c>
      <c r="G22" s="19">
        <f t="shared" si="2"/>
        <v>150000000</v>
      </c>
    </row>
    <row r="23" spans="2:8" x14ac:dyDescent="0.3">
      <c r="B23" s="19">
        <v>12</v>
      </c>
      <c r="C23" s="19">
        <v>4000</v>
      </c>
      <c r="D23" s="19">
        <v>50000</v>
      </c>
      <c r="E23" s="19">
        <f t="shared" si="0"/>
        <v>16000000</v>
      </c>
      <c r="F23" s="19">
        <f t="shared" si="1"/>
        <v>2500000000</v>
      </c>
      <c r="G23" s="19">
        <f t="shared" si="2"/>
        <v>200000000</v>
      </c>
    </row>
    <row r="26" spans="2:8" x14ac:dyDescent="0.3">
      <c r="B26" s="6" t="s">
        <v>53</v>
      </c>
      <c r="D26" s="6"/>
      <c r="E26" s="6" t="s">
        <v>51</v>
      </c>
      <c r="F26" s="6"/>
      <c r="G26" s="6" t="s">
        <v>54</v>
      </c>
      <c r="H26" s="6"/>
    </row>
    <row r="27" spans="2:8" x14ac:dyDescent="0.3">
      <c r="B27" s="5">
        <f>CORREL(C12:C23,D12:D23)</f>
        <v>0.41857938207411255</v>
      </c>
      <c r="E27" s="5">
        <f>SLOPE(C12:C23,D12:D23)</f>
        <v>3.4533551554828151E-2</v>
      </c>
      <c r="G27" s="5">
        <f>INTERCEPT(C12:C23,D12:D23)</f>
        <v>602.04582651391138</v>
      </c>
    </row>
    <row r="29" spans="2:8" x14ac:dyDescent="0.3">
      <c r="B29" s="6" t="s">
        <v>55</v>
      </c>
    </row>
    <row r="30" spans="2:8" x14ac:dyDescent="0.3">
      <c r="B30" s="5">
        <v>0.17519999999999999</v>
      </c>
    </row>
    <row r="32" spans="2:8" x14ac:dyDescent="0.3">
      <c r="B32" s="6" t="s">
        <v>51</v>
      </c>
    </row>
    <row r="33" spans="2:15" x14ac:dyDescent="0.3">
      <c r="B33" s="5">
        <v>5.0735999999999999</v>
      </c>
    </row>
    <row r="35" spans="2:15" x14ac:dyDescent="0.3">
      <c r="B35" s="6" t="s">
        <v>56</v>
      </c>
    </row>
    <row r="36" spans="2:15" x14ac:dyDescent="0.3">
      <c r="B36" s="5">
        <v>33717</v>
      </c>
    </row>
    <row r="39" spans="2:15" x14ac:dyDescent="0.3">
      <c r="B39" s="6" t="s">
        <v>52</v>
      </c>
    </row>
    <row r="41" spans="2:15" x14ac:dyDescent="0.3">
      <c r="B41" s="20" t="s">
        <v>57</v>
      </c>
      <c r="C41" s="20"/>
      <c r="D41" s="20"/>
      <c r="E41" s="20"/>
      <c r="F41" s="20"/>
      <c r="G41" s="20"/>
      <c r="H41" s="20"/>
      <c r="I41" s="20"/>
      <c r="J41" s="20"/>
      <c r="K41" s="20"/>
      <c r="L41" s="20"/>
      <c r="M41" s="20"/>
      <c r="N41" s="20"/>
      <c r="O41" s="20"/>
    </row>
    <row r="42" spans="2:15" x14ac:dyDescent="0.3">
      <c r="B42" s="20"/>
      <c r="C42" s="20"/>
      <c r="D42" s="20"/>
      <c r="E42" s="20"/>
      <c r="F42" s="20"/>
      <c r="G42" s="20"/>
      <c r="H42" s="20"/>
      <c r="I42" s="20"/>
      <c r="J42" s="20"/>
      <c r="K42" s="20"/>
      <c r="L42" s="20"/>
      <c r="M42" s="20"/>
      <c r="N42" s="20"/>
      <c r="O42" s="20"/>
    </row>
    <row r="43" spans="2:15" x14ac:dyDescent="0.3">
      <c r="B43" s="20"/>
      <c r="C43" s="20"/>
      <c r="D43" s="20"/>
      <c r="E43" s="20"/>
      <c r="F43" s="20"/>
      <c r="G43" s="20"/>
      <c r="H43" s="20"/>
      <c r="I43" s="20"/>
      <c r="J43" s="20"/>
      <c r="K43" s="20"/>
      <c r="L43" s="20"/>
      <c r="M43" s="20"/>
      <c r="N43" s="20"/>
      <c r="O43" s="20"/>
    </row>
    <row r="44" spans="2:15" x14ac:dyDescent="0.3">
      <c r="B44" s="20"/>
      <c r="C44" s="20"/>
      <c r="D44" s="20"/>
      <c r="E44" s="20"/>
      <c r="F44" s="20"/>
      <c r="G44" s="20"/>
      <c r="H44" s="20"/>
      <c r="I44" s="20"/>
      <c r="J44" s="20"/>
      <c r="K44" s="20"/>
      <c r="L44" s="20"/>
      <c r="M44" s="20"/>
      <c r="N44" s="20"/>
      <c r="O44" s="20"/>
    </row>
    <row r="45" spans="2:15" x14ac:dyDescent="0.3">
      <c r="B45" s="20"/>
      <c r="C45" s="20"/>
      <c r="D45" s="20"/>
      <c r="E45" s="20"/>
      <c r="F45" s="20"/>
      <c r="G45" s="20"/>
      <c r="H45" s="20"/>
      <c r="I45" s="20"/>
      <c r="J45" s="20"/>
      <c r="K45" s="20"/>
      <c r="L45" s="20"/>
      <c r="M45" s="20"/>
      <c r="N45" s="20"/>
      <c r="O45" s="20"/>
    </row>
    <row r="46" spans="2:15" x14ac:dyDescent="0.3">
      <c r="B46" s="20"/>
      <c r="C46" s="20"/>
      <c r="D46" s="20"/>
      <c r="E46" s="20"/>
      <c r="F46" s="20"/>
      <c r="G46" s="20"/>
      <c r="H46" s="20"/>
      <c r="I46" s="20"/>
      <c r="J46" s="20"/>
      <c r="K46" s="20"/>
      <c r="L46" s="20"/>
      <c r="M46" s="20"/>
      <c r="N46" s="20"/>
      <c r="O46" s="20"/>
    </row>
    <row r="47" spans="2:15" x14ac:dyDescent="0.3">
      <c r="B47" s="20"/>
      <c r="C47" s="20"/>
      <c r="D47" s="20"/>
      <c r="E47" s="20"/>
      <c r="F47" s="20"/>
      <c r="G47" s="20"/>
      <c r="H47" s="20"/>
      <c r="I47" s="20"/>
      <c r="J47" s="20"/>
      <c r="K47" s="20"/>
      <c r="L47" s="20"/>
      <c r="M47" s="20"/>
      <c r="N47" s="20"/>
      <c r="O47" s="20"/>
    </row>
  </sheetData>
  <mergeCells count="2">
    <mergeCell ref="B3:F8"/>
    <mergeCell ref="B41:O47"/>
  </mergeCells>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Hoja5</vt:lpstr>
      <vt:lpstr>Regresión lineal múltiple</vt:lpstr>
      <vt:lpstr>Correlación y regresión simple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Antony Carmine</dc:creator>
  <cp:lastModifiedBy>Antony Carmine</cp:lastModifiedBy>
  <dcterms:created xsi:type="dcterms:W3CDTF">2015-06-05T18:19:34Z</dcterms:created>
  <dcterms:modified xsi:type="dcterms:W3CDTF">2026-06-16T01:00:26Z</dcterms:modified>
</cp:coreProperties>
</file>